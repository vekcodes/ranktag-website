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Audit" sheetId="1" state="visible" r:id="rId1"/>
    <sheet name="Legend &amp; Method" sheetId="2" state="visible" r:id="rId2"/>
  </sheets>
  <definedNames>
    <definedName name="_xlnm._FilterDatabase" localSheetId="0" hidden="1">'Page Audit'!$A$1:$O$50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06100"/>
      <sz val="10"/>
    </font>
    <font>
      <name val="Arial"/>
      <b val="1"/>
      <color rgb="001F3864"/>
      <sz val="10"/>
    </font>
    <font>
      <name val="Arial"/>
      <b val="1"/>
      <color rgb="007F6000"/>
      <sz val="10"/>
    </font>
    <font>
      <name val="Arial"/>
      <b val="1"/>
      <color rgb="009C0006"/>
      <sz val="10"/>
    </font>
    <font>
      <name val="Arial"/>
      <b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9" fillId="4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1" fillId="6" borderId="0" applyAlignment="1" pivotButton="0" quotePrefix="0" xfId="0">
      <alignment vertical="top"/>
    </xf>
    <xf numFmtId="0" fontId="12" fillId="7" borderId="0" applyAlignment="1" pivotButton="0" quotePrefix="0" xfId="0">
      <alignment vertical="top"/>
    </xf>
  </cellXfs>
  <cellStyles count="1">
    <cellStyle name="Normal" xfId="0" builtinId="0" hidden="0"/>
  </cellStyles>
  <dxfs count="5"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1F3864"/>
        <sz val="10"/>
      </font>
      <fill>
        <patternFill patternType="solid">
          <fgColor rgb="00BDD7EE"/>
        </patternFill>
      </fill>
    </dxf>
    <dxf>
      <font>
        <name val="Arial"/>
        <color rgb="007F6000"/>
        <sz val="10"/>
      </font>
      <fill>
        <patternFill patternType="solid">
          <fgColor rgb="00FFE699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595959"/>
        <sz val="1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6" customWidth="1" min="2" max="2"/>
    <col width="18" customWidth="1" min="3" max="3"/>
    <col width="9" customWidth="1" min="4" max="4"/>
    <col width="11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60" customWidth="1" min="11" max="11"/>
    <col width="60" customWidth="1" min="12" max="12"/>
    <col width="20" customWidth="1" min="13" max="13"/>
    <col width="9" customWidth="1" min="14" max="14"/>
    <col width="46" customWidth="1" min="15" max="15"/>
  </cols>
  <sheetData>
    <row r="1" ht="30" customHeight="1">
      <c r="A1" s="1" t="inlineStr">
        <is>
          <t>#</t>
        </is>
      </c>
      <c r="B1" s="1" t="inlineStr">
        <is>
          <t>URL</t>
        </is>
      </c>
      <c r="C1" s="1" t="inlineStr">
        <is>
          <t>Page type</t>
        </is>
      </c>
      <c r="D1" s="1" t="inlineStr">
        <is>
          <t>ICP fit</t>
        </is>
      </c>
      <c r="E1" s="1" t="inlineStr">
        <is>
          <t>Impressions (90d)</t>
        </is>
      </c>
      <c r="F1" s="1" t="inlineStr">
        <is>
          <t>Clicks (90d)</t>
        </is>
      </c>
      <c r="G1" s="1" t="inlineStr">
        <is>
          <t>CTR</t>
        </is>
      </c>
      <c r="H1" s="1" t="inlineStr">
        <is>
          <t>Avg position</t>
        </is>
      </c>
      <c r="I1" s="1" t="inlineStr">
        <is>
          <t>Words</t>
        </is>
      </c>
      <c r="J1" s="1" t="inlineStr">
        <is>
          <t>Title len</t>
        </is>
      </c>
      <c r="K1" s="1" t="inlineStr">
        <is>
          <t>Issue found</t>
        </is>
      </c>
      <c r="L1" s="1" t="inlineStr">
        <is>
          <t>Recommended action</t>
        </is>
      </c>
      <c r="M1" s="1" t="inlineStr">
        <is>
          <t>Bucket</t>
        </is>
      </c>
      <c r="N1" s="1" t="inlineStr">
        <is>
          <t>Priority</t>
        </is>
      </c>
      <c r="O1" s="1" t="inlineStr">
        <is>
          <t>Status</t>
        </is>
      </c>
    </row>
    <row r="2">
      <c r="A2" s="2" t="n">
        <v>1</v>
      </c>
      <c r="B2" s="3" t="inlineStr">
        <is>
          <t>/competitor-analysis</t>
        </is>
      </c>
      <c r="C2" s="2" t="inlineStr">
        <is>
          <t>Free tool</t>
        </is>
      </c>
      <c r="D2" s="2" t="inlineStr">
        <is>
          <t>High</t>
        </is>
      </c>
      <c r="E2" s="2" t="n">
        <v>164563</v>
      </c>
      <c r="F2" s="2" t="n">
        <v>6</v>
      </c>
      <c r="G2" s="4">
        <f>IFERROR(F2/E2,0)</f>
        <v/>
      </c>
      <c r="H2" s="5" t="n">
        <v>67.90000000000001</v>
      </c>
      <c r="I2" s="2" t="n">
        <v>1153</v>
      </c>
      <c r="J2" s="2" t="n">
        <v>60</v>
      </c>
      <c r="K2" s="3" t="inlineStr">
        <is>
          <t>84% of all site impressions but position 67.9. Targets "competitor website analysis" head terms owned by Semrush, Ahrefs and Similarweb. Thinnest tool page at 1,153 words.</t>
        </is>
      </c>
      <c r="L2" s="3" t="inlineStr">
        <is>
          <t>Reposition onto the winnable check/compare long tail (~3,275 impr at pos 41-49). Do NOT chase the rank-tracker cluster: the tool compares on-page content, not SERP positions.</t>
        </is>
      </c>
      <c r="M2" s="2" t="inlineStr">
        <is>
          <t>Keep and reposition</t>
        </is>
      </c>
      <c r="N2" s="2" t="inlineStr">
        <is>
          <t>P1</t>
        </is>
      </c>
      <c r="O2" s="3" t="inlineStr">
        <is>
          <t>Rewrite planned: reposition to compare/check intent, expand to ~2,000 words</t>
        </is>
      </c>
    </row>
    <row r="3">
      <c r="A3" s="2" t="n">
        <v>2</v>
      </c>
      <c r="B3" s="3" t="inlineStr">
        <is>
          <t>/keyword-density-checker</t>
        </is>
      </c>
      <c r="C3" s="2" t="inlineStr">
        <is>
          <t>Free tool</t>
        </is>
      </c>
      <c r="D3" s="2" t="inlineStr">
        <is>
          <t>High</t>
        </is>
      </c>
      <c r="E3" s="2" t="n">
        <v>11414</v>
      </c>
      <c r="F3" s="2" t="n">
        <v>0</v>
      </c>
      <c r="G3" s="4">
        <f>IFERROR(F3/E3,0)</f>
        <v/>
      </c>
      <c r="H3" s="5" t="n">
        <v>42.4</v>
      </c>
      <c r="I3" s="2" t="n">
        <v>1608</v>
      </c>
      <c r="J3" s="2" t="n">
        <v>54</v>
      </c>
      <c r="K3" s="3" t="inlineStr">
        <is>
          <t>Position 42.4 on a ~5,800 impression cluster. Page never used the phrase "word density" (877 impr).</t>
        </is>
      </c>
      <c r="L3" s="3" t="inlineStr">
        <is>
          <t>Title and FAQ updated 16 Oct. Next: add a "word density vs keyword density" H2 and pursue links.</t>
        </is>
      </c>
      <c r="M3" s="2" t="inlineStr">
        <is>
          <t>Protect and expand</t>
        </is>
      </c>
      <c r="N3" s="2" t="inlineStr">
        <is>
          <t>P1</t>
        </is>
      </c>
      <c r="O3" s="3" t="inlineStr">
        <is>
          <t>In progress: title + FAQ shipped, section pending</t>
        </is>
      </c>
    </row>
    <row r="4">
      <c r="A4" s="2" t="n">
        <v>3</v>
      </c>
      <c r="B4" s="3" t="inlineStr">
        <is>
          <t>/services/generative-engine-optimization</t>
        </is>
      </c>
      <c r="C4" s="2" t="inlineStr">
        <is>
          <t>Service page</t>
        </is>
      </c>
      <c r="D4" s="2" t="inlineStr">
        <is>
          <t>High</t>
        </is>
      </c>
      <c r="E4" s="2" t="n">
        <v>0</v>
      </c>
      <c r="F4" s="2" t="n">
        <v>0</v>
      </c>
      <c r="G4" s="4">
        <f>IFERROR(F4/E4,0)</f>
        <v/>
      </c>
      <c r="H4" s="5" t="n"/>
      <c r="I4" s="2" t="n">
        <v>862</v>
      </c>
      <c r="J4" s="2" t="n">
        <v>55</v>
      </c>
      <c r="K4" s="3" t="inlineStr">
        <is>
          <t>Zero impressions in 90 days. Not ranking for anything at all.</t>
        </is>
      </c>
      <c r="L4" s="3" t="inlineStr">
        <is>
          <t>Urgent: diagnose indexation. Per the playbook, a page with no clicks is never re-crawled; needs internal links from a page that does get traffic.</t>
        </is>
      </c>
      <c r="M4" s="2" t="inlineStr">
        <is>
          <t>Keep and reposition</t>
        </is>
      </c>
      <c r="N4" s="2" t="inlineStr">
        <is>
          <t>P1</t>
        </is>
      </c>
      <c r="O4" s="3" t="inlineStr">
        <is>
          <t>Urgent fix: zero impressions, check indexation</t>
        </is>
      </c>
    </row>
    <row r="5">
      <c r="A5" s="2" t="n">
        <v>4</v>
      </c>
      <c r="B5" s="3" t="inlineStr">
        <is>
          <t>/</t>
        </is>
      </c>
      <c r="C5" s="2" t="inlineStr">
        <is>
          <t>Homepage</t>
        </is>
      </c>
      <c r="D5" s="2" t="inlineStr">
        <is>
          <t>High</t>
        </is>
      </c>
      <c r="E5" s="2" t="n">
        <v>8845</v>
      </c>
      <c r="F5" s="2" t="n">
        <v>7</v>
      </c>
      <c r="G5" s="4">
        <f>IFERROR(F5/E5,0)</f>
        <v/>
      </c>
      <c r="H5" s="5" t="n">
        <v>67</v>
      </c>
      <c r="I5" s="2" t="n">
        <v>2299</v>
      </c>
      <c r="J5" s="2" t="n">
        <v>54</v>
      </c>
      <c r="K5" s="3" t="inlineStr">
        <is>
          <t>8,845 impressions, 7 clicks, position 67. Carries four service keywords at once.</t>
        </is>
      </c>
      <c r="L5" s="3" t="inlineStr">
        <is>
          <t>Protect. Tighten the H1 and above-the-fold direct answer.</t>
        </is>
      </c>
      <c r="M5" s="2" t="inlineStr">
        <is>
          <t>Protect and expand</t>
        </is>
      </c>
      <c r="N5" s="2" t="inlineStr">
        <is>
          <t>P2</t>
        </is>
      </c>
      <c r="O5" s="3" t="inlineStr">
        <is>
          <t>Already strong: light touch only</t>
        </is>
      </c>
    </row>
    <row r="6">
      <c r="A6" s="2" t="n">
        <v>5</v>
      </c>
      <c r="B6" s="3" t="inlineStr">
        <is>
          <t>/services</t>
        </is>
      </c>
      <c r="C6" s="2" t="inlineStr">
        <is>
          <t>Service page</t>
        </is>
      </c>
      <c r="D6" s="2" t="inlineStr">
        <is>
          <t>High</t>
        </is>
      </c>
      <c r="E6" s="2" t="n">
        <v>353</v>
      </c>
      <c r="F6" s="2" t="n">
        <v>0</v>
      </c>
      <c r="G6" s="4">
        <f>IFERROR(F6/E6,0)</f>
        <v/>
      </c>
      <c r="H6" s="5" t="n">
        <v>66.59999999999999</v>
      </c>
      <c r="I6" s="2" t="n">
        <v>257</v>
      </c>
      <c r="J6" s="2" t="n">
        <v>56</v>
      </c>
      <c r="K6" s="3" t="inlineStr">
        <is>
          <t>257 words with 8 H2s. Too thin to rank commercially; competes with its own six children.</t>
        </is>
      </c>
      <c r="L6" s="3" t="inlineStr">
        <is>
          <t>Consolidate: make it a genuine hub that links to and summarises each service, or merge into the homepage.</t>
        </is>
      </c>
      <c r="M6" s="2" t="inlineStr">
        <is>
          <t>Consolidate</t>
        </is>
      </c>
      <c r="N6" s="2" t="inlineStr">
        <is>
          <t>P2</t>
        </is>
      </c>
      <c r="O6" s="3" t="inlineStr">
        <is>
          <t>Decision needed: expand to a real hub or merge</t>
        </is>
      </c>
    </row>
    <row r="7">
      <c r="A7" s="2" t="n">
        <v>6</v>
      </c>
      <c r="B7" s="3" t="inlineStr">
        <is>
          <t>/page-speed-checker</t>
        </is>
      </c>
      <c r="C7" s="2" t="inlineStr">
        <is>
          <t>Free tool</t>
        </is>
      </c>
      <c r="D7" s="2" t="inlineStr">
        <is>
          <t>High</t>
        </is>
      </c>
      <c r="E7" s="2" t="n">
        <v>69</v>
      </c>
      <c r="F7" s="2" t="n">
        <v>0</v>
      </c>
      <c r="G7" s="4">
        <f>IFERROR(F7/E7,0)</f>
        <v/>
      </c>
      <c r="H7" s="5" t="n">
        <v>52.8</v>
      </c>
      <c r="I7" s="2" t="n">
        <v>2033</v>
      </c>
      <c r="J7" s="2" t="n">
        <v>56</v>
      </c>
      <c r="K7" s="3" t="inlineStr">
        <is>
          <t>2,033 words but only 69 impressions, vs 11,414 for the density tool. Effectively invisible despite comparable depth.</t>
        </is>
      </c>
      <c r="L7" s="3" t="inlineStr">
        <is>
          <t>Investigate why it is not surfacing. Likely a slug/title relevance mismatch rather than a content problem.</t>
        </is>
      </c>
      <c r="M7" s="2" t="inlineStr">
        <is>
          <t>Keep and reposition</t>
        </is>
      </c>
      <c r="N7" s="2" t="inlineStr">
        <is>
          <t>P2</t>
        </is>
      </c>
      <c r="O7" s="3" t="inlineStr">
        <is>
          <t>Investigate: 2,033 words earning 69 impressions</t>
        </is>
      </c>
    </row>
    <row r="8">
      <c r="A8" s="2" t="n">
        <v>7</v>
      </c>
      <c r="B8" s="3" t="inlineStr">
        <is>
          <t>/llm-info</t>
        </is>
      </c>
      <c r="C8" s="2" t="inlineStr">
        <is>
          <t>GEO asset</t>
        </is>
      </c>
      <c r="D8" s="2" t="inlineStr">
        <is>
          <t>High</t>
        </is>
      </c>
      <c r="E8" s="2" t="n">
        <v>33</v>
      </c>
      <c r="F8" s="2" t="n">
        <v>0</v>
      </c>
      <c r="G8" s="4">
        <f>IFERROR(F8/E8,0)</f>
        <v/>
      </c>
      <c r="H8" s="5" t="n">
        <v>16.4</v>
      </c>
      <c r="I8" s="2" t="n">
        <v>2456</v>
      </c>
      <c r="J8" s="2" t="n">
        <v>54</v>
      </c>
      <c r="K8" s="3" t="inlineStr">
        <is>
          <t>Was missing canonical, meta description and H1. Best average position on the site at 16.4.</t>
        </is>
      </c>
      <c r="L8" s="3" t="inlineStr">
        <is>
          <t>Fixed 16 Oct. Protect: this is the GEO citation asset and it is performing.</t>
        </is>
      </c>
      <c r="M8" s="2" t="inlineStr">
        <is>
          <t>Protect and expand</t>
        </is>
      </c>
      <c r="N8" s="2" t="inlineStr">
        <is>
          <t>P2</t>
        </is>
      </c>
      <c r="O8" s="3" t="inlineStr">
        <is>
          <t>Already strong: fixed and performing at pos 16.4</t>
        </is>
      </c>
    </row>
    <row r="9">
      <c r="A9" s="2" t="n">
        <v>8</v>
      </c>
      <c r="B9" s="3" t="inlineStr">
        <is>
          <t>/case-study/sendr</t>
        </is>
      </c>
      <c r="C9" s="2" t="inlineStr">
        <is>
          <t>Proof / case study</t>
        </is>
      </c>
      <c r="D9" s="2" t="inlineStr">
        <is>
          <t>High</t>
        </is>
      </c>
      <c r="E9" s="2" t="n">
        <v>29</v>
      </c>
      <c r="F9" s="2" t="n">
        <v>0</v>
      </c>
      <c r="G9" s="4">
        <f>IFERROR(F9/E9,0)</f>
        <v/>
      </c>
      <c r="H9" s="5" t="n">
        <v>18.8</v>
      </c>
      <c r="I9" s="2" t="n">
        <v>1028</v>
      </c>
      <c r="J9" s="2" t="n">
        <v>51</v>
      </c>
      <c r="K9" s="3" t="inlineStr">
        <is>
          <t>29 impressions at position 18.8. Strong proof asset, almost no visibility.</t>
        </is>
      </c>
      <c r="L9" s="3" t="inlineStr">
        <is>
          <t>Expand and link to it from every service page. Proof content earns links.</t>
        </is>
      </c>
      <c r="M9" s="2" t="inlineStr">
        <is>
          <t>Protect and expand</t>
        </is>
      </c>
      <c r="N9" s="2" t="inlineStr">
        <is>
          <t>P2</t>
        </is>
      </c>
      <c r="O9" s="3" t="inlineStr">
        <is>
          <t>Rewrite planned: expand and add internal links</t>
        </is>
      </c>
    </row>
    <row r="10">
      <c r="A10" s="2" t="n">
        <v>9</v>
      </c>
      <c r="B10" s="3" t="inlineStr">
        <is>
          <t>/blog/seo-vs-paid-ads-budget</t>
        </is>
      </c>
      <c r="C10" s="2" t="inlineStr">
        <is>
          <t>Blog post</t>
        </is>
      </c>
      <c r="D10" s="2" t="inlineStr">
        <is>
          <t>High</t>
        </is>
      </c>
      <c r="E10" s="2" t="n">
        <v>25</v>
      </c>
      <c r="F10" s="2" t="n">
        <v>1</v>
      </c>
      <c r="G10" s="4">
        <f>IFERROR(F10/E10,0)</f>
        <v/>
      </c>
      <c r="H10" s="5" t="n">
        <v>17.1</v>
      </c>
      <c r="I10" s="2" t="n">
        <v>6046</v>
      </c>
      <c r="J10" s="2" t="n">
        <v>64</v>
      </c>
      <c r="K10" s="3" t="inlineStr">
        <is>
          <t>Ranks well (pos 17.1) but the term has almost no volume (25 impr).</t>
        </is>
      </c>
      <c r="L10" s="3" t="inlineStr">
        <is>
          <t>Topical authority is working; the target is too small. Retarget at an adjacent higher-volume term and keep the internal links.</t>
        </is>
      </c>
      <c r="M10" s="2" t="inlineStr">
        <is>
          <t>Keep and reposition</t>
        </is>
      </c>
      <c r="N10" s="2" t="inlineStr">
        <is>
          <t>P2</t>
        </is>
      </c>
      <c r="O10" s="3" t="inlineStr">
        <is>
          <t>Rewrite planned: retarget at a higher-volume term</t>
        </is>
      </c>
    </row>
    <row r="11">
      <c r="A11" s="2" t="n">
        <v>10</v>
      </c>
      <c r="B11" s="3" t="inlineStr">
        <is>
          <t>/blog/why-inbound-pipeline-slowing-down</t>
        </is>
      </c>
      <c r="C11" s="2" t="inlineStr">
        <is>
          <t>Blog post</t>
        </is>
      </c>
      <c r="D11" s="2" t="inlineStr">
        <is>
          <t>High</t>
        </is>
      </c>
      <c r="E11" s="2" t="n">
        <v>24</v>
      </c>
      <c r="F11" s="2" t="n">
        <v>0</v>
      </c>
      <c r="G11" s="4">
        <f>IFERROR(F11/E11,0)</f>
        <v/>
      </c>
      <c r="H11" s="5" t="n">
        <v>7.8</v>
      </c>
      <c r="I11" s="2" t="n">
        <v>2985</v>
      </c>
      <c r="J11" s="2" t="n">
        <v>65</v>
      </c>
      <c r="K11" s="3" t="inlineStr">
        <is>
          <t>Ranks well (pos 7.8) but the term has almost no volume (24 impr).</t>
        </is>
      </c>
      <c r="L11" s="3" t="inlineStr">
        <is>
          <t>Topical authority is working; the target is too small. Retarget at an adjacent higher-volume term and keep the internal links.</t>
        </is>
      </c>
      <c r="M11" s="2" t="inlineStr">
        <is>
          <t>Keep and reposition</t>
        </is>
      </c>
      <c r="N11" s="2" t="inlineStr">
        <is>
          <t>P2</t>
        </is>
      </c>
      <c r="O11" s="3" t="inlineStr">
        <is>
          <t>Rewrite planned: retarget at a higher-volume term</t>
        </is>
      </c>
    </row>
    <row r="12">
      <c r="A12" s="2" t="n">
        <v>11</v>
      </c>
      <c r="B12" s="3" t="inlineStr">
        <is>
          <t>/blog/track-marketing-sales-revenue-sources</t>
        </is>
      </c>
      <c r="C12" s="2" t="inlineStr">
        <is>
          <t>Blog post</t>
        </is>
      </c>
      <c r="D12" s="2" t="inlineStr">
        <is>
          <t>High</t>
        </is>
      </c>
      <c r="E12" s="2" t="n">
        <v>20</v>
      </c>
      <c r="F12" s="2" t="n">
        <v>0</v>
      </c>
      <c r="G12" s="4">
        <f>IFERROR(F12/E12,0)</f>
        <v/>
      </c>
      <c r="H12" s="5" t="n">
        <v>19.2</v>
      </c>
      <c r="I12" s="2" t="n">
        <v>3881</v>
      </c>
      <c r="J12" s="2" t="n">
        <v>70</v>
      </c>
      <c r="K12" s="3" t="inlineStr">
        <is>
          <t>Ranks well (pos 19.2) but the term has almost no volume (20 impr).</t>
        </is>
      </c>
      <c r="L12" s="3" t="inlineStr">
        <is>
          <t>Topical authority is working; the target is too small. Retarget at an adjacent higher-volume term and keep the internal links.</t>
        </is>
      </c>
      <c r="M12" s="2" t="inlineStr">
        <is>
          <t>Keep and reposition</t>
        </is>
      </c>
      <c r="N12" s="2" t="inlineStr">
        <is>
          <t>P2</t>
        </is>
      </c>
      <c r="O12" s="3" t="inlineStr">
        <is>
          <t>Rewrite planned: retarget at a higher-volume term</t>
        </is>
      </c>
    </row>
    <row r="13">
      <c r="A13" s="2" t="n">
        <v>12</v>
      </c>
      <c r="B13" s="3" t="inlineStr">
        <is>
          <t>/blog/how-small-saas-teams-compete-with-bigger-competitors-on-inbound</t>
        </is>
      </c>
      <c r="C13" s="2" t="inlineStr">
        <is>
          <t>Blog post</t>
        </is>
      </c>
      <c r="D13" s="2" t="inlineStr">
        <is>
          <t>High</t>
        </is>
      </c>
      <c r="E13" s="2" t="n">
        <v>2</v>
      </c>
      <c r="F13" s="2" t="n">
        <v>0</v>
      </c>
      <c r="G13" s="4">
        <f>IFERROR(F13/E13,0)</f>
        <v/>
      </c>
      <c r="H13" s="5" t="n">
        <v>4.5</v>
      </c>
      <c r="I13" s="2" t="n">
        <v>2859</v>
      </c>
      <c r="J13" s="2" t="n">
        <v>67</v>
      </c>
      <c r="K13" s="3" t="inlineStr">
        <is>
          <t>Ranks well (pos 4.5) but the term has almost no volume (2 impr).</t>
        </is>
      </c>
      <c r="L13" s="3" t="inlineStr">
        <is>
          <t>Topical authority is working; the target is too small. Retarget at an adjacent higher-volume term and keep the internal links.</t>
        </is>
      </c>
      <c r="M13" s="2" t="inlineStr">
        <is>
          <t>Keep and reposition</t>
        </is>
      </c>
      <c r="N13" s="2" t="inlineStr">
        <is>
          <t>P2</t>
        </is>
      </c>
      <c r="O13" s="3" t="inlineStr">
        <is>
          <t>Rewrite planned: retarget at a higher-volume term</t>
        </is>
      </c>
    </row>
    <row r="14">
      <c r="A14" s="2" t="n">
        <v>13</v>
      </c>
      <c r="B14" s="3" t="inlineStr">
        <is>
          <t>/domain-authority-checker</t>
        </is>
      </c>
      <c r="C14" s="2" t="inlineStr">
        <is>
          <t>Free tool</t>
        </is>
      </c>
      <c r="D14" s="2" t="inlineStr">
        <is>
          <t>High</t>
        </is>
      </c>
      <c r="E14" s="2" t="n">
        <v>5457</v>
      </c>
      <c r="F14" s="2" t="n">
        <v>0</v>
      </c>
      <c r="G14" s="4">
        <f>IFERROR(F14/E14,0)</f>
        <v/>
      </c>
      <c r="H14" s="5" t="n">
        <v>50.2</v>
      </c>
      <c r="I14" s="2" t="n">
        <v>2092</v>
      </c>
      <c r="J14" s="2" t="n">
        <v>58</v>
      </c>
      <c r="K14" s="3" t="inlineStr">
        <is>
          <t>5,457 impressions at position 50.2. Entire cluster is competitor-brand intent ("ahrefs domain authority checker").</t>
        </is>
      </c>
      <c r="L14" s="3" t="inlineStr">
        <is>
          <t>Decision needed: chasing a competitor brand term converts poorly. Recommend NOT optimising further for "ahrefs *".</t>
        </is>
      </c>
      <c r="M14" s="2" t="inlineStr">
        <is>
          <t>Keep and reposition</t>
        </is>
      </c>
      <c r="N14" s="2" t="inlineStr">
        <is>
          <t>P3</t>
        </is>
      </c>
      <c r="O14" s="3" t="inlineStr">
        <is>
          <t>Decision needed: pursue competitor-brand terms or not</t>
        </is>
      </c>
    </row>
    <row r="15">
      <c r="A15" s="2" t="n">
        <v>14</v>
      </c>
      <c r="B15" s="3" t="inlineStr">
        <is>
          <t>/services/technical-seo</t>
        </is>
      </c>
      <c r="C15" s="2" t="inlineStr">
        <is>
          <t>Service page</t>
        </is>
      </c>
      <c r="D15" s="2" t="inlineStr">
        <is>
          <t>High</t>
        </is>
      </c>
      <c r="E15" s="2" t="n">
        <v>1951</v>
      </c>
      <c r="F15" s="2" t="n">
        <v>0</v>
      </c>
      <c r="G15" s="4">
        <f>IFERROR(F15/E15,0)</f>
        <v/>
      </c>
      <c r="H15" s="5" t="n">
        <v>77.3</v>
      </c>
      <c r="I15" s="2" t="n">
        <v>862</v>
      </c>
      <c r="J15" s="2" t="n">
        <v>55</v>
      </c>
      <c r="K15" s="3" t="inlineStr">
        <is>
          <t>1951 impr at pos 77.3, 862 words. No clicks.</t>
        </is>
      </c>
      <c r="L15" s="3" t="inlineStr">
        <is>
          <t>Reposition toward B2B SaaS intent and link from a page that already earns traffic.</t>
        </is>
      </c>
      <c r="M15" s="2" t="inlineStr">
        <is>
          <t>Keep and reposition</t>
        </is>
      </c>
      <c r="N15" s="2" t="inlineStr">
        <is>
          <t>P3</t>
        </is>
      </c>
      <c r="O15" s="3" t="inlineStr">
        <is>
          <t>Rewrite planned: reposition toward SaaS ICP</t>
        </is>
      </c>
    </row>
    <row r="16">
      <c r="A16" s="2" t="n">
        <v>15</v>
      </c>
      <c r="B16" s="3" t="inlineStr">
        <is>
          <t>/services/b2b-saas-seo</t>
        </is>
      </c>
      <c r="C16" s="2" t="inlineStr">
        <is>
          <t>Service page</t>
        </is>
      </c>
      <c r="D16" s="2" t="inlineStr">
        <is>
          <t>High</t>
        </is>
      </c>
      <c r="E16" s="2" t="n">
        <v>1258</v>
      </c>
      <c r="F16" s="2" t="n">
        <v>0</v>
      </c>
      <c r="G16" s="4">
        <f>IFERROR(F16/E16,0)</f>
        <v/>
      </c>
      <c r="H16" s="5" t="n">
        <v>66.7</v>
      </c>
      <c r="I16" s="2" t="n">
        <v>913</v>
      </c>
      <c r="J16" s="2" t="n">
        <v>55</v>
      </c>
      <c r="K16" s="3" t="inlineStr">
        <is>
          <t>1258 impr at pos 66.7, 913 words. No clicks.</t>
        </is>
      </c>
      <c r="L16" s="3" t="inlineStr">
        <is>
          <t>Reposition toward B2B SaaS intent and link from a page that already earns traffic.</t>
        </is>
      </c>
      <c r="M16" s="2" t="inlineStr">
        <is>
          <t>Keep and reposition</t>
        </is>
      </c>
      <c r="N16" s="2" t="inlineStr">
        <is>
          <t>P3</t>
        </is>
      </c>
      <c r="O16" s="3" t="inlineStr">
        <is>
          <t>Rewrite planned: reposition toward SaaS ICP</t>
        </is>
      </c>
    </row>
    <row r="17">
      <c r="A17" s="2" t="n">
        <v>16</v>
      </c>
      <c r="B17" s="3" t="inlineStr">
        <is>
          <t>/services/ai-seo</t>
        </is>
      </c>
      <c r="C17" s="2" t="inlineStr">
        <is>
          <t>Service page</t>
        </is>
      </c>
      <c r="D17" s="2" t="inlineStr">
        <is>
          <t>High</t>
        </is>
      </c>
      <c r="E17" s="2" t="n">
        <v>236</v>
      </c>
      <c r="F17" s="2" t="n">
        <v>0</v>
      </c>
      <c r="G17" s="4">
        <f>IFERROR(F17/E17,0)</f>
        <v/>
      </c>
      <c r="H17" s="5" t="n">
        <v>49.5</v>
      </c>
      <c r="I17" s="2" t="n">
        <v>879</v>
      </c>
      <c r="J17" s="2" t="n">
        <v>55</v>
      </c>
      <c r="K17" s="3" t="inlineStr">
        <is>
          <t>236 impr at pos 49.5, 879 words. No clicks.</t>
        </is>
      </c>
      <c r="L17" s="3" t="inlineStr">
        <is>
          <t>Reposition toward B2B SaaS intent and link from a page that already earns traffic.</t>
        </is>
      </c>
      <c r="M17" s="2" t="inlineStr">
        <is>
          <t>Keep and reposition</t>
        </is>
      </c>
      <c r="N17" s="2" t="inlineStr">
        <is>
          <t>P3</t>
        </is>
      </c>
      <c r="O17" s="3" t="inlineStr">
        <is>
          <t>Rewrite planned: reposition toward SaaS ICP</t>
        </is>
      </c>
    </row>
    <row r="18">
      <c r="A18" s="2" t="n">
        <v>17</v>
      </c>
      <c r="B18" s="3" t="inlineStr">
        <is>
          <t>/blog/why-are-my-leads-drying-up-suddenly</t>
        </is>
      </c>
      <c r="C18" s="2" t="inlineStr">
        <is>
          <t>Blog post</t>
        </is>
      </c>
      <c r="D18" s="2" t="inlineStr">
        <is>
          <t>Low</t>
        </is>
      </c>
      <c r="E18" s="2" t="n">
        <v>231</v>
      </c>
      <c r="F18" s="2" t="n">
        <v>1</v>
      </c>
      <c r="G18" s="4">
        <f>IFERROR(F18/E18,0)</f>
        <v/>
      </c>
      <c r="H18" s="5" t="n">
        <v>25.9</v>
      </c>
      <c r="I18" s="2" t="n">
        <v>4389</v>
      </c>
      <c r="J18" s="2" t="n">
        <v>65</v>
      </c>
      <c r="K18" s="3" t="inlineStr">
        <is>
          <t>231 impr at pos 25.9, 4389 words. No clicks.</t>
        </is>
      </c>
      <c r="L18" s="3" t="inlineStr">
        <is>
          <t>Reposition toward B2B SaaS intent and link from a page that already earns traffic.</t>
        </is>
      </c>
      <c r="M18" s="2" t="inlineStr">
        <is>
          <t>Keep and reposition</t>
        </is>
      </c>
      <c r="N18" s="2" t="inlineStr">
        <is>
          <t>P3</t>
        </is>
      </c>
      <c r="O18" s="3" t="inlineStr">
        <is>
          <t>Rewrite planned: reposition toward SaaS ICP</t>
        </is>
      </c>
    </row>
    <row r="19">
      <c r="A19" s="2" t="n">
        <v>18</v>
      </c>
      <c r="B19" s="3" t="inlineStr">
        <is>
          <t>/blog/business-growth-stalled</t>
        </is>
      </c>
      <c r="C19" s="2" t="inlineStr">
        <is>
          <t>Blog post</t>
        </is>
      </c>
      <c r="D19" s="2" t="inlineStr">
        <is>
          <t>Low</t>
        </is>
      </c>
      <c r="E19" s="2" t="n">
        <v>222</v>
      </c>
      <c r="F19" s="2" t="n">
        <v>1</v>
      </c>
      <c r="G19" s="4">
        <f>IFERROR(F19/E19,0)</f>
        <v/>
      </c>
      <c r="H19" s="5" t="n">
        <v>17</v>
      </c>
      <c r="I19" s="2" t="n">
        <v>3943</v>
      </c>
      <c r="J19" s="2" t="n">
        <v>69</v>
      </c>
      <c r="K19" s="3" t="inlineStr">
        <is>
          <t>Cluster survivor for "growth stalled" intent. 222 impr at pos 17.0.</t>
        </is>
      </c>
      <c r="L19" s="3" t="inlineStr">
        <is>
          <t>Absorb the other 3 posts in this cluster, then retarget at a higher-volume term.</t>
        </is>
      </c>
      <c r="M19" s="2" t="inlineStr">
        <is>
          <t>Keep and reposition</t>
        </is>
      </c>
      <c r="N19" s="2" t="inlineStr">
        <is>
          <t>P3</t>
        </is>
      </c>
      <c r="O19" s="3" t="inlineStr">
        <is>
          <t>Rewrite planned: absorb 3 sibling posts</t>
        </is>
      </c>
    </row>
    <row r="20">
      <c r="A20" s="2" t="n">
        <v>19</v>
      </c>
      <c r="B20" s="3" t="inlineStr">
        <is>
          <t>/blog/website-traffic-but-no-sales-why</t>
        </is>
      </c>
      <c r="C20" s="2" t="inlineStr">
        <is>
          <t>Blog post</t>
        </is>
      </c>
      <c r="D20" s="2" t="inlineStr">
        <is>
          <t>High</t>
        </is>
      </c>
      <c r="E20" s="2" t="n">
        <v>219</v>
      </c>
      <c r="F20" s="2" t="n">
        <v>0</v>
      </c>
      <c r="G20" s="4">
        <f>IFERROR(F20/E20,0)</f>
        <v/>
      </c>
      <c r="H20" s="5" t="n">
        <v>31.9</v>
      </c>
      <c r="I20" s="2" t="n">
        <v>4345</v>
      </c>
      <c r="J20" s="2" t="n">
        <v>69</v>
      </c>
      <c r="K20" s="3" t="inlineStr">
        <is>
          <t>Cluster survivor for "traffic no conversion" intent. 219 impr at pos 31.9.</t>
        </is>
      </c>
      <c r="L20" s="3" t="inlineStr">
        <is>
          <t>Absorb the other 3 posts in this cluster, then retarget at a higher-volume term.</t>
        </is>
      </c>
      <c r="M20" s="2" t="inlineStr">
        <is>
          <t>Keep and reposition</t>
        </is>
      </c>
      <c r="N20" s="2" t="inlineStr">
        <is>
          <t>P3</t>
        </is>
      </c>
      <c r="O20" s="3" t="inlineStr">
        <is>
          <t>Rewrite planned: absorb 3 sibling posts</t>
        </is>
      </c>
    </row>
    <row r="21">
      <c r="A21" s="2" t="n">
        <v>20</v>
      </c>
      <c r="B21" s="3" t="inlineStr">
        <is>
          <t>/blog/fast-growing-businesses-what-they-do-differently</t>
        </is>
      </c>
      <c r="C21" s="2" t="inlineStr">
        <is>
          <t>Blog post</t>
        </is>
      </c>
      <c r="D21" s="2" t="inlineStr">
        <is>
          <t>Low</t>
        </is>
      </c>
      <c r="E21" s="2" t="n">
        <v>143</v>
      </c>
      <c r="F21" s="2" t="n">
        <v>0</v>
      </c>
      <c r="G21" s="4">
        <f>IFERROR(F21/E21,0)</f>
        <v/>
      </c>
      <c r="H21" s="5" t="n">
        <v>13.2</v>
      </c>
      <c r="I21" s="2" t="n">
        <v>3293</v>
      </c>
      <c r="J21" s="2" t="n">
        <v>69</v>
      </c>
      <c r="K21" s="3" t="inlineStr">
        <is>
          <t>Competes with /blog/business-growth-stalled for the same "growth stalled" intent. 143 impr at pos 13.2.</t>
        </is>
      </c>
      <c r="L21" s="3" t="inlineStr">
        <is>
          <t>Merge the useful sections into /blog/business-growth-stalled and 301 this URL into it.</t>
        </is>
      </c>
      <c r="M21" s="2" t="inlineStr">
        <is>
          <t>Consolidate</t>
        </is>
      </c>
      <c r="N21" s="2" t="inlineStr">
        <is>
          <t>P3</t>
        </is>
      </c>
      <c r="O21" s="3" t="inlineStr">
        <is>
          <t>Decision needed: merge into /blog/business-growth-stalled</t>
        </is>
      </c>
    </row>
    <row r="22">
      <c r="A22" s="2" t="n">
        <v>21</v>
      </c>
      <c r="B22" s="3" t="inlineStr">
        <is>
          <t>/blog/is-your-seo-agency-working</t>
        </is>
      </c>
      <c r="C22" s="2" t="inlineStr">
        <is>
          <t>Blog post</t>
        </is>
      </c>
      <c r="D22" s="2" t="inlineStr">
        <is>
          <t>High</t>
        </is>
      </c>
      <c r="E22" s="2" t="n">
        <v>131</v>
      </c>
      <c r="F22" s="2" t="n">
        <v>0</v>
      </c>
      <c r="G22" s="4">
        <f>IFERROR(F22/E22,0)</f>
        <v/>
      </c>
      <c r="H22" s="5" t="n">
        <v>59.3</v>
      </c>
      <c r="I22" s="2" t="n">
        <v>3470</v>
      </c>
      <c r="J22" s="2" t="n">
        <v>64</v>
      </c>
      <c r="K22" s="3" t="inlineStr">
        <is>
          <t>131 impr at pos 59.3, 3470 words. No clicks.</t>
        </is>
      </c>
      <c r="L22" s="3" t="inlineStr">
        <is>
          <t>Reposition toward B2B SaaS intent and link from a page that already earns traffic.</t>
        </is>
      </c>
      <c r="M22" s="2" t="inlineStr">
        <is>
          <t>Keep and reposition</t>
        </is>
      </c>
      <c r="N22" s="2" t="inlineStr">
        <is>
          <t>P3</t>
        </is>
      </c>
      <c r="O22" s="3" t="inlineStr">
        <is>
          <t>Rewrite planned: reposition toward SaaS ICP</t>
        </is>
      </c>
    </row>
    <row r="23">
      <c r="A23" s="2" t="n">
        <v>22</v>
      </c>
      <c r="B23" s="3" t="inlineStr">
        <is>
          <t>/blog/scale-business-without-hiring-big-team</t>
        </is>
      </c>
      <c r="C23" s="2" t="inlineStr">
        <is>
          <t>Blog post</t>
        </is>
      </c>
      <c r="D23" s="2" t="inlineStr">
        <is>
          <t>Low</t>
        </is>
      </c>
      <c r="E23" s="2" t="n">
        <v>109</v>
      </c>
      <c r="F23" s="2" t="n">
        <v>0</v>
      </c>
      <c r="G23" s="4">
        <f>IFERROR(F23/E23,0)</f>
        <v/>
      </c>
      <c r="H23" s="5" t="n">
        <v>29.4</v>
      </c>
      <c r="I23" s="2" t="n">
        <v>3290</v>
      </c>
      <c r="J23" s="2" t="n">
        <v>64</v>
      </c>
      <c r="K23" s="3" t="inlineStr">
        <is>
          <t>109 impr at pos 29.4, 3290 words. No clicks.</t>
        </is>
      </c>
      <c r="L23" s="3" t="inlineStr">
        <is>
          <t>Reposition toward B2B SaaS intent and link from a page that already earns traffic.</t>
        </is>
      </c>
      <c r="M23" s="2" t="inlineStr">
        <is>
          <t>Keep and reposition</t>
        </is>
      </c>
      <c r="N23" s="2" t="inlineStr">
        <is>
          <t>P3</t>
        </is>
      </c>
      <c r="O23" s="3" t="inlineStr">
        <is>
          <t>Rewrite planned: reposition toward SaaS ICP</t>
        </is>
      </c>
    </row>
    <row r="24">
      <c r="A24" s="2" t="n">
        <v>23</v>
      </c>
      <c r="B24" s="3" t="inlineStr">
        <is>
          <t>/blog/why-traffic-but-no-demos-or-signups</t>
        </is>
      </c>
      <c r="C24" s="2" t="inlineStr">
        <is>
          <t>Blog post</t>
        </is>
      </c>
      <c r="D24" s="2" t="inlineStr">
        <is>
          <t>High</t>
        </is>
      </c>
      <c r="E24" s="2" t="n">
        <v>101</v>
      </c>
      <c r="F24" s="2" t="n">
        <v>0</v>
      </c>
      <c r="G24" s="4">
        <f>IFERROR(F24/E24,0)</f>
        <v/>
      </c>
      <c r="H24" s="5" t="n">
        <v>47.9</v>
      </c>
      <c r="I24" s="2" t="n">
        <v>3993</v>
      </c>
      <c r="J24" s="2" t="n">
        <v>75</v>
      </c>
      <c r="K24" s="3" t="inlineStr">
        <is>
          <t>Competes with /blog/website-traffic-but-no-sales-why for the same "traffic no conversion" intent. 101 impr at pos 47.9.</t>
        </is>
      </c>
      <c r="L24" s="3" t="inlineStr">
        <is>
          <t>Merge the useful sections into /blog/website-traffic-but-no-sales-why and 301 this URL into it.</t>
        </is>
      </c>
      <c r="M24" s="2" t="inlineStr">
        <is>
          <t>Consolidate</t>
        </is>
      </c>
      <c r="N24" s="2" t="inlineStr">
        <is>
          <t>P3</t>
        </is>
      </c>
      <c r="O24" s="3" t="inlineStr">
        <is>
          <t>Decision needed: merge into /blog/website-traffic-but-no-sales-why</t>
        </is>
      </c>
    </row>
    <row r="25">
      <c r="A25" s="2" t="n">
        <v>24</v>
      </c>
      <c r="B25" s="3" t="inlineStr">
        <is>
          <t>/blog/business-not-growing-60-hour-weeks</t>
        </is>
      </c>
      <c r="C25" s="2" t="inlineStr">
        <is>
          <t>Blog post</t>
        </is>
      </c>
      <c r="D25" s="2" t="inlineStr">
        <is>
          <t>Low</t>
        </is>
      </c>
      <c r="E25" s="2" t="n">
        <v>96</v>
      </c>
      <c r="F25" s="2" t="n">
        <v>0</v>
      </c>
      <c r="G25" s="4">
        <f>IFERROR(F25/E25,0)</f>
        <v/>
      </c>
      <c r="H25" s="5" t="n">
        <v>7</v>
      </c>
      <c r="I25" s="2" t="n">
        <v>3545</v>
      </c>
      <c r="J25" s="2" t="n">
        <v>66</v>
      </c>
      <c r="K25" s="3" t="inlineStr">
        <is>
          <t>Competes with /blog/business-growth-stalled for the same "growth stalled" intent. 96 impr at pos 7.0.</t>
        </is>
      </c>
      <c r="L25" s="3" t="inlineStr">
        <is>
          <t>Merge the useful sections into /blog/business-growth-stalled and 301 this URL into it.</t>
        </is>
      </c>
      <c r="M25" s="2" t="inlineStr">
        <is>
          <t>Consolidate</t>
        </is>
      </c>
      <c r="N25" s="2" t="inlineStr">
        <is>
          <t>P3</t>
        </is>
      </c>
      <c r="O25" s="3" t="inlineStr">
        <is>
          <t>Decision needed: merge into /blog/business-growth-stalled</t>
        </is>
      </c>
    </row>
    <row r="26">
      <c r="A26" s="2" t="n">
        <v>25</v>
      </c>
      <c r="B26" s="3" t="inlineStr">
        <is>
          <t>/blog/why-competitors-grow-faster</t>
        </is>
      </c>
      <c r="C26" s="2" t="inlineStr">
        <is>
          <t>Blog post</t>
        </is>
      </c>
      <c r="D26" s="2" t="inlineStr">
        <is>
          <t>Low</t>
        </is>
      </c>
      <c r="E26" s="2" t="n">
        <v>94</v>
      </c>
      <c r="F26" s="2" t="n">
        <v>0</v>
      </c>
      <c r="G26" s="4">
        <f>IFERROR(F26/E26,0)</f>
        <v/>
      </c>
      <c r="H26" s="5" t="n">
        <v>16.1</v>
      </c>
      <c r="I26" s="2" t="n">
        <v>3753</v>
      </c>
      <c r="J26" s="2" t="n">
        <v>64</v>
      </c>
      <c r="K26" s="3" t="inlineStr">
        <is>
          <t>Competes with /blog/business-growth-stalled for the same "growth stalled" intent. 94 impr at pos 16.1.</t>
        </is>
      </c>
      <c r="L26" s="3" t="inlineStr">
        <is>
          <t>Merge the useful sections into /blog/business-growth-stalled and 301 this URL into it.</t>
        </is>
      </c>
      <c r="M26" s="2" t="inlineStr">
        <is>
          <t>Consolidate</t>
        </is>
      </c>
      <c r="N26" s="2" t="inlineStr">
        <is>
          <t>P3</t>
        </is>
      </c>
      <c r="O26" s="3" t="inlineStr">
        <is>
          <t>Decision needed: merge into /blog/business-growth-stalled</t>
        </is>
      </c>
    </row>
    <row r="27">
      <c r="A27" s="2" t="n">
        <v>26</v>
      </c>
      <c r="B27" s="3" t="inlineStr">
        <is>
          <t>/blog/rank-website-in-claude-chatgpt-gemini-perplexity</t>
        </is>
      </c>
      <c r="C27" s="2" t="inlineStr">
        <is>
          <t>Blog post</t>
        </is>
      </c>
      <c r="D27" s="2" t="inlineStr">
        <is>
          <t>High</t>
        </is>
      </c>
      <c r="E27" s="2" t="n">
        <v>89</v>
      </c>
      <c r="F27" s="2" t="n">
        <v>0</v>
      </c>
      <c r="G27" s="4">
        <f>IFERROR(F27/E27,0)</f>
        <v/>
      </c>
      <c r="H27" s="5" t="n">
        <v>49.5</v>
      </c>
      <c r="I27" s="2" t="n">
        <v>4057</v>
      </c>
      <c r="J27" s="2" t="n">
        <v>68</v>
      </c>
      <c r="K27" s="3" t="inlineStr">
        <is>
          <t>89 impr at pos 49.5, 4057 words. No clicks.</t>
        </is>
      </c>
      <c r="L27" s="3" t="inlineStr">
        <is>
          <t>Reposition toward B2B SaaS intent and link from a page that already earns traffic.</t>
        </is>
      </c>
      <c r="M27" s="2" t="inlineStr">
        <is>
          <t>Keep and reposition</t>
        </is>
      </c>
      <c r="N27" s="2" t="inlineStr">
        <is>
          <t>P3</t>
        </is>
      </c>
      <c r="O27" s="3" t="inlineStr">
        <is>
          <t>Rewrite planned: reposition toward SaaS ICP</t>
        </is>
      </c>
    </row>
    <row r="28">
      <c r="A28" s="2" t="n">
        <v>27</v>
      </c>
      <c r="B28" s="3" t="inlineStr">
        <is>
          <t>/blog/grow-business-without-ads</t>
        </is>
      </c>
      <c r="C28" s="2" t="inlineStr">
        <is>
          <t>Blog post</t>
        </is>
      </c>
      <c r="D28" s="2" t="inlineStr">
        <is>
          <t>Low</t>
        </is>
      </c>
      <c r="E28" s="2" t="n">
        <v>86</v>
      </c>
      <c r="F28" s="2" t="n">
        <v>0</v>
      </c>
      <c r="G28" s="4">
        <f>IFERROR(F28/E28,0)</f>
        <v/>
      </c>
      <c r="H28" s="5" t="n">
        <v>27.9</v>
      </c>
      <c r="I28" s="2" t="n">
        <v>3938</v>
      </c>
      <c r="J28" s="2" t="n">
        <v>67</v>
      </c>
      <c r="K28" s="3" t="inlineStr">
        <is>
          <t>86 impr at pos 27.9, 3938 words. No clicks.</t>
        </is>
      </c>
      <c r="L28" s="3" t="inlineStr">
        <is>
          <t>Reposition toward B2B SaaS intent and link from a page that already earns traffic.</t>
        </is>
      </c>
      <c r="M28" s="2" t="inlineStr">
        <is>
          <t>Keep and reposition</t>
        </is>
      </c>
      <c r="N28" s="2" t="inlineStr">
        <is>
          <t>P3</t>
        </is>
      </c>
      <c r="O28" s="3" t="inlineStr">
        <is>
          <t>Rewrite planned: reposition toward SaaS ICP</t>
        </is>
      </c>
    </row>
    <row r="29">
      <c r="A29" s="2" t="n">
        <v>28</v>
      </c>
      <c r="B29" s="3" t="inlineStr">
        <is>
          <t>/blog</t>
        </is>
      </c>
      <c r="C29" s="2" t="inlineStr">
        <is>
          <t>Blog index</t>
        </is>
      </c>
      <c r="D29" s="2" t="inlineStr">
        <is>
          <t>Medium</t>
        </is>
      </c>
      <c r="E29" s="2" t="n">
        <v>73</v>
      </c>
      <c r="F29" s="2" t="n">
        <v>0</v>
      </c>
      <c r="G29" s="4">
        <f>IFERROR(F29/E29,0)</f>
        <v/>
      </c>
      <c r="H29" s="5" t="n">
        <v>55.6</v>
      </c>
      <c r="I29" s="2" t="n">
        <v>1351</v>
      </c>
      <c r="J29" s="2" t="n">
        <v>55</v>
      </c>
      <c r="K29" s="3" t="inlineStr">
        <is>
          <t>Blog index, 73 impressions.</t>
        </is>
      </c>
      <c r="L29" s="3" t="inlineStr">
        <is>
          <t>Keep. Ensure it links to the cluster survivors.</t>
        </is>
      </c>
      <c r="M29" s="2" t="inlineStr">
        <is>
          <t>Protect and expand</t>
        </is>
      </c>
      <c r="N29" s="2" t="inlineStr">
        <is>
          <t>P3</t>
        </is>
      </c>
      <c r="O29" s="3" t="inlineStr">
        <is>
          <t>Already strong: light touch only</t>
        </is>
      </c>
    </row>
    <row r="30">
      <c r="A30" s="2" t="n">
        <v>29</v>
      </c>
      <c r="B30" s="3" t="inlineStr">
        <is>
          <t>/blog/why-website-visitors-leave</t>
        </is>
      </c>
      <c r="C30" s="2" t="inlineStr">
        <is>
          <t>Blog post</t>
        </is>
      </c>
      <c r="D30" s="2" t="inlineStr">
        <is>
          <t>High</t>
        </is>
      </c>
      <c r="E30" s="2" t="n">
        <v>73</v>
      </c>
      <c r="F30" s="2" t="n">
        <v>0</v>
      </c>
      <c r="G30" s="4">
        <f>IFERROR(F30/E30,0)</f>
        <v/>
      </c>
      <c r="H30" s="5" t="n">
        <v>43.9</v>
      </c>
      <c r="I30" s="2" t="n">
        <v>3782</v>
      </c>
      <c r="J30" s="2" t="n">
        <v>68</v>
      </c>
      <c r="K30" s="3" t="inlineStr">
        <is>
          <t>Competes with /blog/website-traffic-but-no-sales-why for the same "traffic no conversion" intent. 73 impr at pos 43.9.</t>
        </is>
      </c>
      <c r="L30" s="3" t="inlineStr">
        <is>
          <t>Merge the useful sections into /blog/website-traffic-but-no-sales-why and 301 this URL into it.</t>
        </is>
      </c>
      <c r="M30" s="2" t="inlineStr">
        <is>
          <t>Consolidate</t>
        </is>
      </c>
      <c r="N30" s="2" t="inlineStr">
        <is>
          <t>P3</t>
        </is>
      </c>
      <c r="O30" s="3" t="inlineStr">
        <is>
          <t>Decision needed: merge into /blog/website-traffic-but-no-sales-why</t>
        </is>
      </c>
    </row>
    <row r="31">
      <c r="A31" s="2" t="n">
        <v>30</v>
      </c>
      <c r="B31" s="3" t="inlineStr">
        <is>
          <t>/blog/content-marketing-roi</t>
        </is>
      </c>
      <c r="C31" s="2" t="inlineStr">
        <is>
          <t>Blog post</t>
        </is>
      </c>
      <c r="D31" s="2" t="inlineStr">
        <is>
          <t>High</t>
        </is>
      </c>
      <c r="E31" s="2" t="n">
        <v>57</v>
      </c>
      <c r="F31" s="2" t="n">
        <v>0</v>
      </c>
      <c r="G31" s="4">
        <f>IFERROR(F31/E31,0)</f>
        <v/>
      </c>
      <c r="H31" s="5" t="n">
        <v>72.8</v>
      </c>
      <c r="I31" s="2" t="n">
        <v>3850</v>
      </c>
      <c r="J31" s="2" t="n">
        <v>75</v>
      </c>
      <c r="K31" s="3" t="inlineStr">
        <is>
          <t>57 impr at pos 72.8, 3850 words. No clicks.</t>
        </is>
      </c>
      <c r="L31" s="3" t="inlineStr">
        <is>
          <t>Reposition toward B2B SaaS intent and link from a page that already earns traffic.</t>
        </is>
      </c>
      <c r="M31" s="2" t="inlineStr">
        <is>
          <t>Keep and reposition</t>
        </is>
      </c>
      <c r="N31" s="2" t="inlineStr">
        <is>
          <t>P3</t>
        </is>
      </c>
      <c r="O31" s="3" t="inlineStr">
        <is>
          <t>Rewrite planned: reposition toward SaaS ICP</t>
        </is>
      </c>
    </row>
    <row r="32">
      <c r="A32" s="2" t="n">
        <v>31</v>
      </c>
      <c r="B32" s="3" t="inlineStr">
        <is>
          <t>/blog/predictable-inbound-lead-engine-saas</t>
        </is>
      </c>
      <c r="C32" s="2" t="inlineStr">
        <is>
          <t>Blog post</t>
        </is>
      </c>
      <c r="D32" s="2" t="inlineStr">
        <is>
          <t>High</t>
        </is>
      </c>
      <c r="E32" s="2" t="n">
        <v>47</v>
      </c>
      <c r="F32" s="2" t="n">
        <v>0</v>
      </c>
      <c r="G32" s="4">
        <f>IFERROR(F32/E32,0)</f>
        <v/>
      </c>
      <c r="H32" s="5" t="n">
        <v>30</v>
      </c>
      <c r="I32" s="2" t="n">
        <v>4567</v>
      </c>
      <c r="J32" s="2" t="n">
        <v>74</v>
      </c>
      <c r="K32" s="3" t="inlineStr">
        <is>
          <t>47 impr at pos 30.0, 4567 words. No clicks.</t>
        </is>
      </c>
      <c r="L32" s="3" t="inlineStr">
        <is>
          <t>Reposition toward B2B SaaS intent and link from a page that already earns traffic.</t>
        </is>
      </c>
      <c r="M32" s="2" t="inlineStr">
        <is>
          <t>Keep and reposition</t>
        </is>
      </c>
      <c r="N32" s="2" t="inlineStr">
        <is>
          <t>P3</t>
        </is>
      </c>
      <c r="O32" s="3" t="inlineStr">
        <is>
          <t>Rewrite planned: reposition toward SaaS ICP</t>
        </is>
      </c>
    </row>
    <row r="33">
      <c r="A33" s="2" t="n">
        <v>32</v>
      </c>
      <c r="B33" s="3" t="inlineStr">
        <is>
          <t>/blog/marketing-not-converting-fix-low-sales</t>
        </is>
      </c>
      <c r="C33" s="2" t="inlineStr">
        <is>
          <t>Blog post</t>
        </is>
      </c>
      <c r="D33" s="2" t="inlineStr">
        <is>
          <t>High</t>
        </is>
      </c>
      <c r="E33" s="2" t="n">
        <v>42</v>
      </c>
      <c r="F33" s="2" t="n">
        <v>0</v>
      </c>
      <c r="G33" s="4">
        <f>IFERROR(F33/E33,0)</f>
        <v/>
      </c>
      <c r="H33" s="5" t="n">
        <v>32.9</v>
      </c>
      <c r="I33" s="2" t="n">
        <v>3762</v>
      </c>
      <c r="J33" s="2" t="n">
        <v>68</v>
      </c>
      <c r="K33" s="3" t="inlineStr">
        <is>
          <t>Competes with /blog/website-traffic-but-no-sales-why for the same "traffic no conversion" intent. 42 impr at pos 32.9.</t>
        </is>
      </c>
      <c r="L33" s="3" t="inlineStr">
        <is>
          <t>Merge the useful sections into /blog/website-traffic-but-no-sales-why and 301 this URL into it.</t>
        </is>
      </c>
      <c r="M33" s="2" t="inlineStr">
        <is>
          <t>Consolidate</t>
        </is>
      </c>
      <c r="N33" s="2" t="inlineStr">
        <is>
          <t>P3</t>
        </is>
      </c>
      <c r="O33" s="3" t="inlineStr">
        <is>
          <t>Decision needed: merge into /blog/website-traffic-but-no-sales-why</t>
        </is>
      </c>
    </row>
    <row r="34">
      <c r="A34" s="2" t="n">
        <v>33</v>
      </c>
      <c r="B34" s="3" t="inlineStr">
        <is>
          <t>/services/saas-content-marketing</t>
        </is>
      </c>
      <c r="C34" s="2" t="inlineStr">
        <is>
          <t>Service page</t>
        </is>
      </c>
      <c r="D34" s="2" t="inlineStr">
        <is>
          <t>High</t>
        </is>
      </c>
      <c r="E34" s="2" t="n">
        <v>40</v>
      </c>
      <c r="F34" s="2" t="n">
        <v>0</v>
      </c>
      <c r="G34" s="4">
        <f>IFERROR(F34/E34,0)</f>
        <v/>
      </c>
      <c r="H34" s="5" t="n">
        <v>74.3</v>
      </c>
      <c r="I34" s="2" t="n">
        <v>883</v>
      </c>
      <c r="J34" s="2" t="n">
        <v>55</v>
      </c>
      <c r="K34" s="3" t="inlineStr">
        <is>
          <t>40 impr at pos 74.3, 883 words. No clicks.</t>
        </is>
      </c>
      <c r="L34" s="3" t="inlineStr">
        <is>
          <t>Reposition toward B2B SaaS intent and link from a page that already earns traffic.</t>
        </is>
      </c>
      <c r="M34" s="2" t="inlineStr">
        <is>
          <t>Keep and reposition</t>
        </is>
      </c>
      <c r="N34" s="2" t="inlineStr">
        <is>
          <t>P3</t>
        </is>
      </c>
      <c r="O34" s="3" t="inlineStr">
        <is>
          <t>Rewrite planned: reposition toward SaaS ICP</t>
        </is>
      </c>
    </row>
    <row r="35">
      <c r="A35" s="2" t="n">
        <v>34</v>
      </c>
      <c r="B35" s="3" t="inlineStr">
        <is>
          <t>/blog/find-customers-searching-for-your-product</t>
        </is>
      </c>
      <c r="C35" s="2" t="inlineStr">
        <is>
          <t>Blog post</t>
        </is>
      </c>
      <c r="D35" s="2" t="inlineStr">
        <is>
          <t>Low</t>
        </is>
      </c>
      <c r="E35" s="2" t="n">
        <v>40</v>
      </c>
      <c r="F35" s="2" t="n">
        <v>0</v>
      </c>
      <c r="G35" s="4">
        <f>IFERROR(F35/E35,0)</f>
        <v/>
      </c>
      <c r="H35" s="5" t="n">
        <v>19.4</v>
      </c>
      <c r="I35" s="2" t="n">
        <v>3614</v>
      </c>
      <c r="J35" s="2" t="n">
        <v>65</v>
      </c>
      <c r="K35" s="3" t="inlineStr">
        <is>
          <t>Cluster survivor for "customer acquisition" intent. 40 impr at pos 19.4.</t>
        </is>
      </c>
      <c r="L35" s="3" t="inlineStr">
        <is>
          <t>Absorb the other 3 posts in this cluster, then retarget at a higher-volume term.</t>
        </is>
      </c>
      <c r="M35" s="2" t="inlineStr">
        <is>
          <t>Keep and reposition</t>
        </is>
      </c>
      <c r="N35" s="2" t="inlineStr">
        <is>
          <t>P3</t>
        </is>
      </c>
      <c r="O35" s="3" t="inlineStr">
        <is>
          <t>Rewrite planned: absorb 3 sibling posts</t>
        </is>
      </c>
    </row>
    <row r="36">
      <c r="A36" s="2" t="n">
        <v>35</v>
      </c>
      <c r="B36" s="3" t="inlineStr">
        <is>
          <t>/blog/why-nobody-knows-about-your-saas</t>
        </is>
      </c>
      <c r="C36" s="2" t="inlineStr">
        <is>
          <t>Blog post</t>
        </is>
      </c>
      <c r="D36" s="2" t="inlineStr">
        <is>
          <t>High</t>
        </is>
      </c>
      <c r="E36" s="2" t="n">
        <v>35</v>
      </c>
      <c r="F36" s="2" t="n">
        <v>0</v>
      </c>
      <c r="G36" s="4">
        <f>IFERROR(F36/E36,0)</f>
        <v/>
      </c>
      <c r="H36" s="5" t="n">
        <v>17.4</v>
      </c>
      <c r="I36" s="2" t="n">
        <v>6846</v>
      </c>
      <c r="J36" s="2" t="n">
        <v>72</v>
      </c>
      <c r="K36" s="3" t="inlineStr">
        <is>
          <t>Cluster survivor for "visibility" intent. 35 impr at pos 17.4.</t>
        </is>
      </c>
      <c r="L36" s="3" t="inlineStr">
        <is>
          <t>Absorb the other 2 posts in this cluster, then retarget at a higher-volume term.</t>
        </is>
      </c>
      <c r="M36" s="2" t="inlineStr">
        <is>
          <t>Keep and reposition</t>
        </is>
      </c>
      <c r="N36" s="2" t="inlineStr">
        <is>
          <t>P3</t>
        </is>
      </c>
      <c r="O36" s="3" t="inlineStr">
        <is>
          <t>Rewrite planned: absorb 2 sibling posts</t>
        </is>
      </c>
    </row>
    <row r="37">
      <c r="A37" s="2" t="n">
        <v>36</v>
      </c>
      <c r="B37" s="3" t="inlineStr">
        <is>
          <t>/services/answer-engine-optimization</t>
        </is>
      </c>
      <c r="C37" s="2" t="inlineStr">
        <is>
          <t>Service page</t>
        </is>
      </c>
      <c r="D37" s="2" t="inlineStr">
        <is>
          <t>High</t>
        </is>
      </c>
      <c r="E37" s="2" t="n">
        <v>18</v>
      </c>
      <c r="F37" s="2" t="n">
        <v>0</v>
      </c>
      <c r="G37" s="4">
        <f>IFERROR(F37/E37,0)</f>
        <v/>
      </c>
      <c r="H37" s="5" t="n">
        <v>64</v>
      </c>
      <c r="I37" s="2" t="n">
        <v>849</v>
      </c>
      <c r="J37" s="2" t="n">
        <v>53</v>
      </c>
      <c r="K37" s="3" t="inlineStr">
        <is>
          <t>18 impr at pos 64.0, 849 words. No clicks.</t>
        </is>
      </c>
      <c r="L37" s="3" t="inlineStr">
        <is>
          <t>Reposition toward B2B SaaS intent and link from a page that already earns traffic.</t>
        </is>
      </c>
      <c r="M37" s="2" t="inlineStr">
        <is>
          <t>Keep and reposition</t>
        </is>
      </c>
      <c r="N37" s="2" t="inlineStr">
        <is>
          <t>P3</t>
        </is>
      </c>
      <c r="O37" s="3" t="inlineStr">
        <is>
          <t>Rewrite planned: reposition toward SaaS ICP</t>
        </is>
      </c>
    </row>
    <row r="38">
      <c r="A38" s="2" t="n">
        <v>37</v>
      </c>
      <c r="B38" s="3" t="inlineStr">
        <is>
          <t>/blog/global-saas-visibility-without-budget</t>
        </is>
      </c>
      <c r="C38" s="2" t="inlineStr">
        <is>
          <t>Blog post</t>
        </is>
      </c>
      <c r="D38" s="2" t="inlineStr">
        <is>
          <t>High</t>
        </is>
      </c>
      <c r="E38" s="2" t="n">
        <v>10</v>
      </c>
      <c r="F38" s="2" t="n">
        <v>0</v>
      </c>
      <c r="G38" s="4">
        <f>IFERROR(F38/E38,0)</f>
        <v/>
      </c>
      <c r="H38" s="5" t="n">
        <v>29</v>
      </c>
      <c r="I38" s="2" t="n">
        <v>6312</v>
      </c>
      <c r="J38" s="2" t="n">
        <v>70</v>
      </c>
      <c r="K38" s="3" t="inlineStr">
        <is>
          <t>Competes with /blog/why-nobody-knows-about-your-saas for the same "visibility" intent. 10 impr at pos 29.0.</t>
        </is>
      </c>
      <c r="L38" s="3" t="inlineStr">
        <is>
          <t>Merge the useful sections into /blog/why-nobody-knows-about-your-saas and 301 this URL into it.</t>
        </is>
      </c>
      <c r="M38" s="2" t="inlineStr">
        <is>
          <t>Consolidate</t>
        </is>
      </c>
      <c r="N38" s="2" t="inlineStr">
        <is>
          <t>P3</t>
        </is>
      </c>
      <c r="O38" s="3" t="inlineStr">
        <is>
          <t>Decision needed: merge into /blog/why-nobody-knows-about-your-saas</t>
        </is>
      </c>
    </row>
    <row r="39">
      <c r="A39" s="2" t="n">
        <v>38</v>
      </c>
      <c r="B39" s="3" t="inlineStr">
        <is>
          <t>/blog/find-new-customers-2026</t>
        </is>
      </c>
      <c r="C39" s="2" t="inlineStr">
        <is>
          <t>Blog post</t>
        </is>
      </c>
      <c r="D39" s="2" t="inlineStr">
        <is>
          <t>Low</t>
        </is>
      </c>
      <c r="E39" s="2" t="n">
        <v>7</v>
      </c>
      <c r="F39" s="2" t="n">
        <v>0</v>
      </c>
      <c r="G39" s="4">
        <f>IFERROR(F39/E39,0)</f>
        <v/>
      </c>
      <c r="H39" s="5" t="n">
        <v>5.3</v>
      </c>
      <c r="I39" s="2" t="n">
        <v>3518</v>
      </c>
      <c r="J39" s="2" t="n">
        <v>61</v>
      </c>
      <c r="K39" s="3" t="inlineStr">
        <is>
          <t>Competes with /blog/find-customers-searching-for-your-product for the same "customer acquisition" intent. 7 impr at pos 5.3.</t>
        </is>
      </c>
      <c r="L39" s="3" t="inlineStr">
        <is>
          <t>Merge the useful sections into /blog/find-customers-searching-for-your-product and 301 this URL into it.</t>
        </is>
      </c>
      <c r="M39" s="2" t="inlineStr">
        <is>
          <t>Consolidate</t>
        </is>
      </c>
      <c r="N39" s="2" t="inlineStr">
        <is>
          <t>P3</t>
        </is>
      </c>
      <c r="O39" s="3" t="inlineStr">
        <is>
          <t>Decision needed: merge into /blog/find-customers-searching-for-your-product</t>
        </is>
      </c>
    </row>
    <row r="40">
      <c r="A40" s="2" t="n">
        <v>39</v>
      </c>
      <c r="B40" s="3" t="inlineStr">
        <is>
          <t>/blog/get-more-customers-2026</t>
        </is>
      </c>
      <c r="C40" s="2" t="inlineStr">
        <is>
          <t>Blog post</t>
        </is>
      </c>
      <c r="D40" s="2" t="inlineStr">
        <is>
          <t>Low</t>
        </is>
      </c>
      <c r="E40" s="2" t="n">
        <v>7</v>
      </c>
      <c r="F40" s="2" t="n">
        <v>0</v>
      </c>
      <c r="G40" s="4">
        <f>IFERROR(F40/E40,0)</f>
        <v/>
      </c>
      <c r="H40" s="5" t="n">
        <v>9.1</v>
      </c>
      <c r="I40" s="2" t="n">
        <v>3888</v>
      </c>
      <c r="J40" s="2" t="n">
        <v>66</v>
      </c>
      <c r="K40" s="3" t="inlineStr">
        <is>
          <t>Competes with /blog/find-customers-searching-for-your-product for the same "customer acquisition" intent. 7 impr at pos 9.1.</t>
        </is>
      </c>
      <c r="L40" s="3" t="inlineStr">
        <is>
          <t>Merge the useful sections into /blog/find-customers-searching-for-your-product and 301 this URL into it.</t>
        </is>
      </c>
      <c r="M40" s="2" t="inlineStr">
        <is>
          <t>Consolidate</t>
        </is>
      </c>
      <c r="N40" s="2" t="inlineStr">
        <is>
          <t>P3</t>
        </is>
      </c>
      <c r="O40" s="3" t="inlineStr">
        <is>
          <t>Decision needed: merge into /blog/find-customers-searching-for-your-product</t>
        </is>
      </c>
    </row>
    <row r="41">
      <c r="A41" s="2" t="n">
        <v>40</v>
      </c>
      <c r="B41" s="3" t="inlineStr">
        <is>
          <t>/blog/steady-stream-of-customers</t>
        </is>
      </c>
      <c r="C41" s="2" t="inlineStr">
        <is>
          <t>Blog post</t>
        </is>
      </c>
      <c r="D41" s="2" t="inlineStr">
        <is>
          <t>Low</t>
        </is>
      </c>
      <c r="E41" s="2" t="n">
        <v>5</v>
      </c>
      <c r="F41" s="2" t="n">
        <v>0</v>
      </c>
      <c r="G41" s="4">
        <f>IFERROR(F41/E41,0)</f>
        <v/>
      </c>
      <c r="H41" s="5" t="n">
        <v>4.4</v>
      </c>
      <c r="I41" s="2" t="n">
        <v>3352</v>
      </c>
      <c r="J41" s="2" t="n">
        <v>66</v>
      </c>
      <c r="K41" s="3" t="inlineStr">
        <is>
          <t>Competes with /blog/find-customers-searching-for-your-product for the same "customer acquisition" intent. 5 impr at pos 4.4.</t>
        </is>
      </c>
      <c r="L41" s="3" t="inlineStr">
        <is>
          <t>Merge the useful sections into /blog/find-customers-searching-for-your-product and 301 this URL into it.</t>
        </is>
      </c>
      <c r="M41" s="2" t="inlineStr">
        <is>
          <t>Consolidate</t>
        </is>
      </c>
      <c r="N41" s="2" t="inlineStr">
        <is>
          <t>P3</t>
        </is>
      </c>
      <c r="O41" s="3" t="inlineStr">
        <is>
          <t>Decision needed: merge into /blog/find-customers-searching-for-your-product</t>
        </is>
      </c>
    </row>
    <row r="42">
      <c r="A42" s="2" t="n">
        <v>41</v>
      </c>
      <c r="B42" s="3" t="inlineStr">
        <is>
          <t>/blog/why-business-invisible-online</t>
        </is>
      </c>
      <c r="C42" s="2" t="inlineStr">
        <is>
          <t>Blog post</t>
        </is>
      </c>
      <c r="D42" s="2" t="inlineStr">
        <is>
          <t>Low</t>
        </is>
      </c>
      <c r="E42" s="2" t="n">
        <v>0</v>
      </c>
      <c r="F42" s="2" t="n">
        <v>0</v>
      </c>
      <c r="G42" s="4">
        <f>IFERROR(F42/E42,0)</f>
        <v/>
      </c>
      <c r="H42" s="5" t="n"/>
      <c r="I42" s="2" t="n">
        <v>3760</v>
      </c>
      <c r="J42" s="2" t="n">
        <v>70</v>
      </c>
      <c r="K42" s="3" t="inlineStr">
        <is>
          <t>Competes with /blog/why-nobody-knows-about-your-saas for the same "visibility" intent. 0 impr at pos 0.0.</t>
        </is>
      </c>
      <c r="L42" s="3" t="inlineStr">
        <is>
          <t>Merge the useful sections into /blog/why-nobody-knows-about-your-saas and 301 this URL into it.</t>
        </is>
      </c>
      <c r="M42" s="2" t="inlineStr">
        <is>
          <t>Consolidate</t>
        </is>
      </c>
      <c r="N42" s="2" t="inlineStr">
        <is>
          <t>P3</t>
        </is>
      </c>
      <c r="O42" s="3" t="inlineStr">
        <is>
          <t>Decision needed: merge into /blog/why-nobody-knows-about-your-saas</t>
        </is>
      </c>
    </row>
    <row r="43">
      <c r="A43" s="2" t="n">
        <v>42</v>
      </c>
      <c r="B43" s="3" t="inlineStr">
        <is>
          <t>/blog/product-pricing-strategy</t>
        </is>
      </c>
      <c r="C43" s="2" t="inlineStr">
        <is>
          <t>Blog post</t>
        </is>
      </c>
      <c r="D43" s="2" t="inlineStr">
        <is>
          <t>Low</t>
        </is>
      </c>
      <c r="E43" s="2" t="n">
        <v>53</v>
      </c>
      <c r="F43" s="2" t="n">
        <v>0</v>
      </c>
      <c r="G43" s="4">
        <f>IFERROR(F43/E43,0)</f>
        <v/>
      </c>
      <c r="H43" s="5" t="n">
        <v>15.3</v>
      </c>
      <c r="I43" s="2" t="n">
        <v>3889</v>
      </c>
      <c r="J43" s="2" t="n">
        <v>64</v>
      </c>
      <c r="K43" s="3" t="inlineStr">
        <is>
          <t>Off-ICP generic business advice. 53 impr, 3889 words.</t>
        </is>
      </c>
      <c r="L43" s="3" t="inlineStr">
        <is>
          <t>Stop investing. The agency sells B2B SaaS SEO; this targets small-business growth readers who will not buy.</t>
        </is>
      </c>
      <c r="M43" s="2" t="inlineStr">
        <is>
          <t>Prune</t>
        </is>
      </c>
      <c r="N43" s="2" t="inlineStr">
        <is>
          <t>P4</t>
        </is>
      </c>
      <c r="O43" s="3" t="inlineStr">
        <is>
          <t>Prune: off-ICP, no further investment</t>
        </is>
      </c>
    </row>
    <row r="44">
      <c r="A44" s="2" t="n">
        <v>43</v>
      </c>
      <c r="B44" s="3" t="inlineStr">
        <is>
          <t>/blog/prospects-ghosting-after-first-call</t>
        </is>
      </c>
      <c r="C44" s="2" t="inlineStr">
        <is>
          <t>Blog post</t>
        </is>
      </c>
      <c r="D44" s="2" t="inlineStr">
        <is>
          <t>Low</t>
        </is>
      </c>
      <c r="E44" s="2" t="n">
        <v>43</v>
      </c>
      <c r="F44" s="2" t="n">
        <v>0</v>
      </c>
      <c r="G44" s="4">
        <f>IFERROR(F44/E44,0)</f>
        <v/>
      </c>
      <c r="H44" s="5" t="n">
        <v>10.5</v>
      </c>
      <c r="I44" s="2" t="n">
        <v>3867</v>
      </c>
      <c r="J44" s="2" t="n">
        <v>65</v>
      </c>
      <c r="K44" s="3" t="inlineStr">
        <is>
          <t>Off-ICP generic business advice. 43 impr, 3867 words.</t>
        </is>
      </c>
      <c r="L44" s="3" t="inlineStr">
        <is>
          <t>Stop investing. The agency sells B2B SaaS SEO; this targets small-business growth readers who will not buy.</t>
        </is>
      </c>
      <c r="M44" s="2" t="inlineStr">
        <is>
          <t>Prune</t>
        </is>
      </c>
      <c r="N44" s="2" t="inlineStr">
        <is>
          <t>P4</t>
        </is>
      </c>
      <c r="O44" s="3" t="inlineStr">
        <is>
          <t>Prune: off-ICP, no further investment</t>
        </is>
      </c>
    </row>
    <row r="45">
      <c r="A45" s="2" t="n">
        <v>44</v>
      </c>
      <c r="B45" s="3" t="inlineStr">
        <is>
          <t>/blog/product-praised-but-not-bought-how-to-fix</t>
        </is>
      </c>
      <c r="C45" s="2" t="inlineStr">
        <is>
          <t>Blog post</t>
        </is>
      </c>
      <c r="D45" s="2" t="inlineStr">
        <is>
          <t>Low</t>
        </is>
      </c>
      <c r="E45" s="2" t="n">
        <v>43</v>
      </c>
      <c r="F45" s="2" t="n">
        <v>0</v>
      </c>
      <c r="G45" s="4">
        <f>IFERROR(F45/E45,0)</f>
        <v/>
      </c>
      <c r="H45" s="5" t="n">
        <v>47.9</v>
      </c>
      <c r="I45" s="2" t="n">
        <v>4067</v>
      </c>
      <c r="J45" s="2" t="n">
        <v>71</v>
      </c>
      <c r="K45" s="3" t="inlineStr">
        <is>
          <t>Off-ICP generic business advice. 43 impr, 4067 words.</t>
        </is>
      </c>
      <c r="L45" s="3" t="inlineStr">
        <is>
          <t>Stop investing. The agency sells B2B SaaS SEO; this targets small-business growth readers who will not buy.</t>
        </is>
      </c>
      <c r="M45" s="2" t="inlineStr">
        <is>
          <t>Prune</t>
        </is>
      </c>
      <c r="N45" s="2" t="inlineStr">
        <is>
          <t>P4</t>
        </is>
      </c>
      <c r="O45" s="3" t="inlineStr">
        <is>
          <t>Prune: off-ICP, no further investment</t>
        </is>
      </c>
    </row>
    <row r="46">
      <c r="A46" s="2" t="n">
        <v>45</v>
      </c>
      <c r="B46" s="3" t="inlineStr">
        <is>
          <t>/blog/stop-wasting-money-on-agencies-avoid-bad-hires</t>
        </is>
      </c>
      <c r="C46" s="2" t="inlineStr">
        <is>
          <t>Blog post</t>
        </is>
      </c>
      <c r="D46" s="2" t="inlineStr">
        <is>
          <t>Low</t>
        </is>
      </c>
      <c r="E46" s="2" t="n">
        <v>33</v>
      </c>
      <c r="F46" s="2" t="n">
        <v>0</v>
      </c>
      <c r="G46" s="4">
        <f>IFERROR(F46/E46,0)</f>
        <v/>
      </c>
      <c r="H46" s="5" t="n">
        <v>32.2</v>
      </c>
      <c r="I46" s="2" t="n">
        <v>3510</v>
      </c>
      <c r="J46" s="2" t="n">
        <v>69</v>
      </c>
      <c r="K46" s="3" t="inlineStr">
        <is>
          <t>Off-ICP generic business advice. 33 impr, 3510 words.</t>
        </is>
      </c>
      <c r="L46" s="3" t="inlineStr">
        <is>
          <t>Stop investing. The agency sells B2B SaaS SEO; this targets small-business growth readers who will not buy.</t>
        </is>
      </c>
      <c r="M46" s="2" t="inlineStr">
        <is>
          <t>Prune</t>
        </is>
      </c>
      <c r="N46" s="2" t="inlineStr">
        <is>
          <t>P4</t>
        </is>
      </c>
      <c r="O46" s="3" t="inlineStr">
        <is>
          <t>Prune: off-ICP, no further investment</t>
        </is>
      </c>
    </row>
    <row r="47">
      <c r="A47" s="2" t="n">
        <v>46</v>
      </c>
      <c r="B47" s="3" t="inlineStr">
        <is>
          <t>/apply</t>
        </is>
      </c>
      <c r="C47" s="2" t="inlineStr">
        <is>
          <t>Conversion</t>
        </is>
      </c>
      <c r="D47" s="2" t="inlineStr">
        <is>
          <t>High</t>
        </is>
      </c>
      <c r="E47" s="2" t="n">
        <v>32</v>
      </c>
      <c r="F47" s="2" t="n">
        <v>0</v>
      </c>
      <c r="G47" s="4">
        <f>IFERROR(F47/E47,0)</f>
        <v/>
      </c>
      <c r="H47" s="5" t="n">
        <v>35</v>
      </c>
      <c r="I47" s="2" t="n">
        <v>198</v>
      </c>
      <c r="J47" s="2" t="n">
        <v>56</v>
      </c>
      <c r="K47" s="3" t="inlineStr">
        <is>
          <t>198 words, zero H2s. Thin, but it is a conversion page, not an SEO page.</t>
        </is>
      </c>
      <c r="L47" s="3" t="inlineStr">
        <is>
          <t>Leave as a conversion page. Do not pad for SEO.</t>
        </is>
      </c>
      <c r="M47" s="2" t="inlineStr">
        <is>
          <t>Protect and expand</t>
        </is>
      </c>
      <c r="N47" s="2" t="inlineStr">
        <is>
          <t>P4</t>
        </is>
      </c>
      <c r="O47" s="3" t="inlineStr">
        <is>
          <t>Already strong: conversion page, no SEO work needed</t>
        </is>
      </c>
    </row>
    <row r="48">
      <c r="A48" s="2" t="n">
        <v>47</v>
      </c>
      <c r="B48" s="3" t="inlineStr">
        <is>
          <t>/blog/grow-business-tight-budget</t>
        </is>
      </c>
      <c r="C48" s="2" t="inlineStr">
        <is>
          <t>Blog post</t>
        </is>
      </c>
      <c r="D48" s="2" t="inlineStr">
        <is>
          <t>Low</t>
        </is>
      </c>
      <c r="E48" s="2" t="n">
        <v>24</v>
      </c>
      <c r="F48" s="2" t="n">
        <v>1</v>
      </c>
      <c r="G48" s="4">
        <f>IFERROR(F48/E48,0)</f>
        <v/>
      </c>
      <c r="H48" s="5" t="n">
        <v>18.2</v>
      </c>
      <c r="I48" s="2" t="n">
        <v>3796</v>
      </c>
      <c r="J48" s="2" t="n">
        <v>68</v>
      </c>
      <c r="K48" s="3" t="inlineStr">
        <is>
          <t>Off-ICP generic business advice. 24 impr, 3796 words.</t>
        </is>
      </c>
      <c r="L48" s="3" t="inlineStr">
        <is>
          <t>Stop investing. The agency sells B2B SaaS SEO; this targets small-business growth readers who will not buy.</t>
        </is>
      </c>
      <c r="M48" s="2" t="inlineStr">
        <is>
          <t>Prune</t>
        </is>
      </c>
      <c r="N48" s="2" t="inlineStr">
        <is>
          <t>P4</t>
        </is>
      </c>
      <c r="O48" s="3" t="inlineStr">
        <is>
          <t>Prune: off-ICP, no further investment</t>
        </is>
      </c>
    </row>
    <row r="49">
      <c r="A49" s="2" t="n">
        <v>48</v>
      </c>
      <c r="B49" s="3" t="inlineStr">
        <is>
          <t>/blog/why-you-lose-customers</t>
        </is>
      </c>
      <c r="C49" s="2" t="inlineStr">
        <is>
          <t>Blog post</t>
        </is>
      </c>
      <c r="D49" s="2" t="inlineStr">
        <is>
          <t>Low</t>
        </is>
      </c>
      <c r="E49" s="2" t="n">
        <v>7</v>
      </c>
      <c r="F49" s="2" t="n">
        <v>0</v>
      </c>
      <c r="G49" s="4">
        <f>IFERROR(F49/E49,0)</f>
        <v/>
      </c>
      <c r="H49" s="5" t="n">
        <v>12.6</v>
      </c>
      <c r="I49" s="2" t="n">
        <v>3940</v>
      </c>
      <c r="J49" s="2" t="n">
        <v>66</v>
      </c>
      <c r="K49" s="3" t="inlineStr">
        <is>
          <t>Off-ICP generic business advice. 7 impr, 3940 words.</t>
        </is>
      </c>
      <c r="L49" s="3" t="inlineStr">
        <is>
          <t>Stop investing. The agency sells B2B SaaS SEO; this targets small-business growth readers who will not buy.</t>
        </is>
      </c>
      <c r="M49" s="2" t="inlineStr">
        <is>
          <t>Prune</t>
        </is>
      </c>
      <c r="N49" s="2" t="inlineStr">
        <is>
          <t>P4</t>
        </is>
      </c>
      <c r="O49" s="3" t="inlineStr">
        <is>
          <t>Prune: off-ICP, no further investment</t>
        </is>
      </c>
    </row>
    <row r="50">
      <c r="A50" s="2" t="n">
        <v>49</v>
      </c>
      <c r="B50" s="3" t="inlineStr">
        <is>
          <t>/blog/ai-powered-content-marketing-real-customers</t>
        </is>
      </c>
      <c r="C50" s="2" t="inlineStr">
        <is>
          <t>Blog post</t>
        </is>
      </c>
      <c r="D50" s="2" t="inlineStr">
        <is>
          <t>High</t>
        </is>
      </c>
      <c r="E50" s="2" t="n">
        <v>0</v>
      </c>
      <c r="F50" s="2" t="n">
        <v>0</v>
      </c>
      <c r="G50" s="4">
        <f>IFERROR(F50/E50,0)</f>
        <v/>
      </c>
      <c r="H50" s="5" t="n"/>
      <c r="I50" s="2" t="n">
        <v>2336</v>
      </c>
      <c r="J50" s="2" t="n">
        <v>68</v>
      </c>
      <c r="K50" s="3" t="inlineStr">
        <is>
          <t>Zero impressions in 90 days. 2336 words earning nothing.</t>
        </is>
      </c>
      <c r="L50" s="3" t="inlineStr">
        <is>
          <t>Stop investing. Do not rewrite. Override this call if the topic matters commercially.</t>
        </is>
      </c>
      <c r="M50" s="2" t="inlineStr">
        <is>
          <t>Prune</t>
        </is>
      </c>
      <c r="N50" s="2" t="inlineStr">
        <is>
          <t>P4</t>
        </is>
      </c>
      <c r="O50" s="3" t="inlineStr">
        <is>
          <t>Prune: no further investment</t>
        </is>
      </c>
    </row>
    <row r="52">
      <c r="B52" s="6" t="inlineStr">
        <is>
          <t>TOTAL / AVERAGE</t>
        </is>
      </c>
      <c r="E52" s="6">
        <f>SUM(E2:E50)</f>
        <v/>
      </c>
      <c r="F52" s="6">
        <f>SUM(F2:F50)</f>
        <v/>
      </c>
      <c r="G52" s="7">
        <f>IFERROR(F52/E52,0)</f>
        <v/>
      </c>
      <c r="H52" s="8">
        <f>IFERROR(SUMPRODUCT(E2:E50,H2:H50)/E52,0)</f>
        <v/>
      </c>
      <c r="K52" s="9" t="inlineStr">
        <is>
          <t>Average position is impression-weighted, not a flat mean.</t>
        </is>
      </c>
    </row>
  </sheetData>
  <autoFilter ref="A1:O50"/>
  <conditionalFormatting sqref="O2:O50">
    <cfRule type="expression" priority="1" dxfId="0">
      <formula>ISNUMBER(SEARCH("Already strong:",$O2))</formula>
    </cfRule>
    <cfRule type="expression" priority="2" dxfId="1">
      <formula>ISNUMBER(SEARCH("Rewrite planned:",$O2))</formula>
    </cfRule>
    <cfRule type="expression" priority="3" dxfId="1">
      <formula>ISNUMBER(SEARCH("In progress:",$O2))</formula>
    </cfRule>
    <cfRule type="expression" priority="4" dxfId="2">
      <formula>ISNUMBER(SEARCH("Decision needed:",$O2))</formula>
    </cfRule>
    <cfRule type="expression" priority="5" dxfId="2">
      <formula>ISNUMBER(SEARCH("Investigate:",$O2))</formula>
    </cfRule>
    <cfRule type="expression" priority="6" dxfId="3">
      <formula>ISNUMBER(SEARCH("Urgent fix:",$O2))</formula>
    </cfRule>
    <cfRule type="expression" priority="7" dxfId="4">
      <formula>ISNUMBER(SEARCH("Prune:",$O2))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RankedTag page-level SEO audit</t>
        </is>
      </c>
    </row>
    <row r="2">
      <c r="A2" s="11" t="inlineStr">
        <is>
          <t>Built 16 October 2026 by running seo-geo-audit-playbook.md against rankedtag.com.</t>
        </is>
      </c>
    </row>
    <row r="4">
      <c r="A4" s="12" t="inlineStr">
        <is>
          <t>STATUS COLOUR LEGEND</t>
        </is>
      </c>
    </row>
    <row r="5">
      <c r="A5" s="13" t="inlineStr">
        <is>
          <t>Already strong</t>
        </is>
      </c>
      <c r="B5" s="11" t="inlineStr">
        <is>
          <t>Performing. Light touch only, do not rewrite.</t>
        </is>
      </c>
    </row>
    <row r="6">
      <c r="A6" s="14" t="inlineStr">
        <is>
          <t>Rewrite planned</t>
        </is>
      </c>
      <c r="B6" s="11" t="inlineStr">
        <is>
          <t>Full rewrite or repositioning scheduled.</t>
        </is>
      </c>
    </row>
    <row r="7">
      <c r="A7" s="14" t="inlineStr">
        <is>
          <t>In progress</t>
        </is>
      </c>
      <c r="B7" s="11" t="inlineStr">
        <is>
          <t>Work started, not finished.</t>
        </is>
      </c>
    </row>
    <row r="8">
      <c r="A8" s="15" t="inlineStr">
        <is>
          <t>Decision needed</t>
        </is>
      </c>
      <c r="B8" s="11" t="inlineStr">
        <is>
          <t>Needs a call from RankedTag before work starts.</t>
        </is>
      </c>
    </row>
    <row r="9">
      <c r="A9" s="15" t="inlineStr">
        <is>
          <t>Investigate</t>
        </is>
      </c>
      <c r="B9" s="11" t="inlineStr">
        <is>
          <t>Cause unknown, diagnose before acting.</t>
        </is>
      </c>
    </row>
    <row r="10">
      <c r="A10" s="16" t="inlineStr">
        <is>
          <t>Urgent fix</t>
        </is>
      </c>
      <c r="B10" s="11" t="inlineStr">
        <is>
          <t>Broken now. Fix before any content work.</t>
        </is>
      </c>
    </row>
    <row r="11">
      <c r="A11" s="17" t="inlineStr">
        <is>
          <t>Prune</t>
        </is>
      </c>
      <c r="B11" s="11" t="inlineStr">
        <is>
          <t>Stop investing. Not deleted, just no further spend.</t>
        </is>
      </c>
    </row>
    <row r="13">
      <c r="A13" s="12" t="inlineStr">
        <is>
          <t>BUCKETS (every page sits in exactly one)</t>
        </is>
      </c>
    </row>
    <row r="14">
      <c r="A14" s="12" t="inlineStr">
        <is>
          <t>Protect and expand</t>
        </is>
      </c>
      <c r="B14" s="11" t="inlineStr">
        <is>
          <t>Working. Invest further, do not rewrite from scratch.</t>
        </is>
      </c>
    </row>
    <row r="15">
      <c r="A15" s="12" t="inlineStr">
        <is>
          <t>Keep and reposition</t>
        </is>
      </c>
      <c r="B15" s="11" t="inlineStr">
        <is>
          <t>Has equity but aimed at the wrong angle or audience. Rewrite framing, not facts.</t>
        </is>
      </c>
    </row>
    <row r="16">
      <c r="A16" s="12" t="inlineStr">
        <is>
          <t>Consolidate</t>
        </is>
      </c>
      <c r="B16" s="11" t="inlineStr">
        <is>
          <t>Competes with another page for the same intent. Merge and 301 the weaker URL.</t>
        </is>
      </c>
    </row>
    <row r="17">
      <c r="A17" s="12" t="inlineStr">
        <is>
          <t>Prune</t>
        </is>
      </c>
      <c r="B17" s="11" t="inlineStr">
        <is>
          <t>Stop investing. Not a deletion instruction.</t>
        </is>
      </c>
    </row>
    <row r="19">
      <c r="A19" s="12" t="inlineStr">
        <is>
          <t>WHICH CELLS TO EDIT</t>
        </is>
      </c>
    </row>
    <row r="20">
      <c r="A20" s="11" t="inlineStr">
        <is>
          <t>Status (column O)</t>
        </is>
      </c>
      <c r="B20" s="11" t="inlineStr">
        <is>
          <t>Yours to maintain. Keep the "Label: specific note" shape so the colour rule keeps working.</t>
        </is>
      </c>
    </row>
    <row r="21">
      <c r="A21" s="11" t="inlineStr">
        <is>
          <t>Example</t>
        </is>
      </c>
      <c r="B21" s="11" t="inlineStr">
        <is>
          <t>Rewrite planned: absorb 3 sibling posts, target "b2b saas seo"</t>
        </is>
      </c>
    </row>
    <row r="22">
      <c r="A22" s="11" t="inlineStr">
        <is>
          <t>Everything else</t>
        </is>
      </c>
      <c r="B22" s="11" t="inlineStr">
        <is>
          <t>Audit output. Overwrite only if you disagree with the call.</t>
        </is>
      </c>
    </row>
    <row r="24">
      <c r="A24" s="12" t="inlineStr">
        <is>
          <t>METHODOLOGY AND LIMITATIONS</t>
        </is>
      </c>
    </row>
    <row r="25">
      <c r="A25" s="11" t="inlineStr">
        <is>
          <t>Performance data: Google Search Console, Search Analytics API, 90 days, 17 July to 14 October 2026.</t>
        </is>
      </c>
    </row>
    <row r="26">
      <c r="A26" s="11" t="inlineStr">
        <is>
          <t>Window ends 14 October because Search Console finalises data roughly two days late.</t>
        </is>
      </c>
    </row>
    <row r="27">
      <c r="A27" s="11" t="inlineStr">
        <is>
          <t>Totals: 196,491 impressions, 17 clicks across 47 pages with data. Site-wide CTR 0.009%.</t>
        </is>
      </c>
    </row>
    <row r="28">
      <c r="A28" s="11" t="inlineStr">
        <is>
          <t>Page-level clicks (17) exceed query-level clicks (1) because Google withholds rare queries for privacy. Page level is authoritative.</t>
        </is>
      </c>
    </row>
    <row r="29">
      <c r="A29" s="11" t="inlineStr">
        <is>
          <t>Content data: every one of the 49 indexed URLs was fetched live on 16 October 2026 and parsed, not inferred from the CMS.</t>
        </is>
      </c>
    </row>
    <row r="30">
      <c r="A30" s="11" t="inlineStr">
        <is>
          <t>Two pages in the sitemap returned no Search Console rows and are shown with zero impressions.</t>
        </is>
      </c>
    </row>
    <row r="31">
      <c r="A31" s="11" t="inlineStr">
        <is>
          <t>No third-party keyword tool (DataForSEO, Ahrefs, Semrush) was connected. Competitor keyword gaps and backlink profiles are therefore NOT in this audit.</t>
        </is>
      </c>
    </row>
    <row r="32">
      <c r="A32" s="11" t="inlineStr">
        <is>
          <t>Search volume figures are impressions actually recorded for this site, not market search volume.</t>
        </is>
      </c>
    </row>
    <row r="33">
      <c r="A33" s="11" t="inlineStr">
        <is>
          <t>ICP fit is a judgement call based on the stated positioning (B2B SaaS SEO, AEO and GEO), not on data. Override where you disagree.</t>
        </is>
      </c>
    </row>
    <row r="34">
      <c r="A34" s="11" t="inlineStr">
        <is>
          <t>No live slug, redirect or published page was changed as part of building this 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2026-10-16T17:22:05Z</dcterms:created>
  <dcterms:modified xsi:type="dcterms:W3CDTF">2026-10-16T17:22:05Z</dcterms:modified>
</cp:coreProperties>
</file>